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largeRepairableMissionExample\RawInputData\"/>
    </mc:Choice>
  </mc:AlternateContent>
  <xr:revisionPtr revIDLastSave="0" documentId="13_ncr:1_{5DDD7F40-1BA7-457B-B732-0141FC304E0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Sheet1!$A$1:$J$14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<sst xmlns="http://schemas.openxmlformats.org/spreadsheetml/2006/main" count="72" uniqueCount="51">
  <si>
    <t>Place Number</t>
  </si>
  <si>
    <t>Code</t>
  </si>
  <si>
    <t>Component description</t>
  </si>
  <si>
    <t>Data type</t>
  </si>
  <si>
    <t>Simplified data type</t>
  </si>
  <si>
    <t>Data</t>
  </si>
  <si>
    <t>Datatype</t>
  </si>
  <si>
    <t>MTTF</t>
  </si>
  <si>
    <t>EtaOrMu</t>
  </si>
  <si>
    <t>BetaOrSigma</t>
  </si>
  <si>
    <t>Datatypes</t>
  </si>
  <si>
    <t>PUMP 1</t>
  </si>
  <si>
    <t>engine 1 pump</t>
  </si>
  <si>
    <t>MTBF</t>
  </si>
  <si>
    <t>51,250 hours</t>
  </si>
  <si>
    <r>
      <rPr>
        <sz val="11"/>
        <color rgb="FF000000"/>
        <rFont val="Calibri"/>
        <family val="2"/>
        <charset val="1"/>
      </rPr>
      <t xml:space="preserve">Exponential </t>
    </r>
    <r>
      <rPr>
        <sz val="11"/>
        <color rgb="FF000000"/>
        <rFont val="Calibri"/>
        <family val="2"/>
      </rPr>
      <t>distribution</t>
    </r>
  </si>
  <si>
    <t>PUMP 2</t>
  </si>
  <si>
    <t>engine 2 pump</t>
  </si>
  <si>
    <r>
      <rPr>
        <sz val="11"/>
        <color rgb="FF000000"/>
        <rFont val="Calibri"/>
        <family val="2"/>
        <charset val="1"/>
      </rPr>
      <t xml:space="preserve">Weibull </t>
    </r>
    <r>
      <rPr>
        <sz val="11"/>
        <color rgb="FF000000"/>
        <rFont val="Calibri"/>
        <family val="2"/>
      </rPr>
      <t>distribution</t>
    </r>
  </si>
  <si>
    <t>LEAK</t>
  </si>
  <si>
    <t>hydraulic leak, somewhere</t>
  </si>
  <si>
    <t>lambda = 0.5/10^6 hrs</t>
  </si>
  <si>
    <t>Normal distribution</t>
  </si>
  <si>
    <t>SOV</t>
  </si>
  <si>
    <t>shutoff valve (between hyd system and engine in case of fire)</t>
  </si>
  <si>
    <t>Failure rate/hr</t>
  </si>
  <si>
    <t>lambda = 29.827 /10^6 hrs</t>
  </si>
  <si>
    <t>No data – use 1e-9 MTTF</t>
  </si>
  <si>
    <t>ELEC PUMP</t>
  </si>
  <si>
    <t>electrical hydraulic backup pump</t>
  </si>
  <si>
    <t>108,125 hours</t>
  </si>
  <si>
    <t>HYD SEL</t>
  </si>
  <si>
    <t>Hydraulic selector valve - chooses between green and yellow systems</t>
  </si>
  <si>
    <t>Normal</t>
  </si>
  <si>
    <t>µ = 9638.4; σ = 2709.16</t>
  </si>
  <si>
    <t>ACC</t>
  </si>
  <si>
    <t>A hydraulic accumulator</t>
  </si>
  <si>
    <t>BSCU 1</t>
  </si>
  <si>
    <t xml:space="preserve">Brake and steering control unit </t>
  </si>
  <si>
    <t>MTTF (hours)</t>
  </si>
  <si>
    <t>BSCU 2</t>
  </si>
  <si>
    <t>GEAR</t>
  </si>
  <si>
    <t>Landing gear structural failure</t>
  </si>
  <si>
    <t>λ=3x10-5 /hour</t>
  </si>
  <si>
    <t>ATTACH A</t>
  </si>
  <si>
    <t>LG-wing attachment point</t>
  </si>
  <si>
    <t>120,000 hrs</t>
  </si>
  <si>
    <t>ATTACH B</t>
  </si>
  <si>
    <t>JAM</t>
  </si>
  <si>
    <t>Wheel jamming</t>
  </si>
  <si>
    <t>9539000hrs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</si>
</sst>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A6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0" xfId="0" applyFont="1" applyFill="1"/>
    <xf numFmtId="0" fontId="2" fillId="3" borderId="0" xfId="0" applyFont="1" applyFill="1"/>
    <xf numFmtId="0" fontId="2" fillId="0" borderId="3" xfId="0" applyFont="1" applyBorder="1"/>
    <xf numFmtId="0" fontId="0" fillId="0" borderId="0" xfId="0" applyAlignment="1">
      <alignment horizontal="right"/>
    </xf>
    <xf numFmtId="0" fontId="0" fillId="3" borderId="0" xfId="0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A5" zoomScaleNormal="100" workbookViewId="0">
      <selection activeCell="C14" sqref="C14"/>
    </sheetView>
  </sheetViews>
  <sheetFormatPr defaultColWidth="8.81640625" defaultRowHeight="14.5" x14ac:dyDescent="0.35"/>
  <cols>
    <col min="1" max="1" width="13.453125" customWidth="1"/>
    <col min="2" max="2" width="12.1796875" customWidth="1"/>
    <col min="3" max="3" width="67.453125" customWidth="1"/>
    <col min="4" max="4" width="24.453125" customWidth="1"/>
    <col min="5" max="5" width="19.08984375" customWidth="1"/>
    <col min="6" max="6" width="23.81640625" customWidth="1"/>
    <col min="7" max="7" width="12.81640625" customWidth="1"/>
    <col min="8" max="8" width="12" customWidth="1"/>
    <col min="9" max="9" width="9.453125" customWidth="1"/>
    <col min="10" max="10" width="11.08984375" customWidth="1"/>
    <col min="12" max="12" width="22.54296875" customWidth="1"/>
    <col min="13" max="13" width="2.7265625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6" t="s">
        <v>10</v>
      </c>
    </row>
    <row r="2" spans="1:13" x14ac:dyDescent="0.35">
      <c r="A2">
        <v>1</v>
      </c>
      <c r="B2" t="s">
        <v>11</v>
      </c>
      <c r="C2" t="s">
        <v>12</v>
      </c>
      <c r="D2" s="7" t="s">
        <v>13</v>
      </c>
      <c r="E2" t="s">
        <v>7</v>
      </c>
      <c r="F2" t="s">
        <v>14</v>
      </c>
      <c r="G2" s="8">
        <v>0</v>
      </c>
      <c r="H2" s="8">
        <v>51250</v>
      </c>
      <c r="I2" s="8">
        <v>1</v>
      </c>
      <c r="J2" s="8">
        <v>1</v>
      </c>
      <c r="L2" s="9" t="s">
        <v>15</v>
      </c>
      <c r="M2" s="9">
        <v>0</v>
      </c>
    </row>
    <row r="3" spans="1:13" x14ac:dyDescent="0.35">
      <c r="A3">
        <v>2</v>
      </c>
      <c r="B3" t="s">
        <v>16</v>
      </c>
      <c r="C3" t="s">
        <v>17</v>
      </c>
      <c r="D3" s="7" t="s">
        <v>13</v>
      </c>
      <c r="E3" t="s">
        <v>7</v>
      </c>
      <c r="F3" t="s">
        <v>14</v>
      </c>
      <c r="G3" s="8">
        <v>0</v>
      </c>
      <c r="H3" s="8">
        <v>51250</v>
      </c>
      <c r="I3" s="8"/>
      <c r="J3" s="8"/>
      <c r="L3" s="9" t="s">
        <v>18</v>
      </c>
      <c r="M3" s="9">
        <v>1</v>
      </c>
    </row>
    <row r="4" spans="1:13" x14ac:dyDescent="0.35">
      <c r="A4">
        <v>3</v>
      </c>
      <c r="B4" t="s">
        <v>19</v>
      </c>
      <c r="C4" t="s">
        <v>20</v>
      </c>
      <c r="D4" s="7">
        <v>0</v>
      </c>
      <c r="F4" t="s">
        <v>21</v>
      </c>
      <c r="G4" s="8">
        <v>0</v>
      </c>
      <c r="H4" s="8">
        <f>1/0.000029827</f>
        <v>33526.670466355987</v>
      </c>
      <c r="I4" s="8"/>
      <c r="J4" s="8"/>
      <c r="L4" s="9" t="s">
        <v>22</v>
      </c>
      <c r="M4" s="9">
        <v>2</v>
      </c>
    </row>
    <row r="5" spans="1:13" x14ac:dyDescent="0.35">
      <c r="A5">
        <v>4</v>
      </c>
      <c r="B5" t="s">
        <v>23</v>
      </c>
      <c r="C5" t="s">
        <v>24</v>
      </c>
      <c r="D5" s="7" t="s">
        <v>25</v>
      </c>
      <c r="F5" t="s">
        <v>26</v>
      </c>
      <c r="G5" s="8">
        <v>0</v>
      </c>
      <c r="H5" s="8">
        <f>1/0.0000005</f>
        <v>2000000</v>
      </c>
      <c r="I5" s="8"/>
      <c r="J5" s="8"/>
      <c r="L5" s="9" t="s">
        <v>27</v>
      </c>
      <c r="M5" s="9">
        <v>3</v>
      </c>
    </row>
    <row r="6" spans="1:13" x14ac:dyDescent="0.35">
      <c r="A6">
        <v>5</v>
      </c>
      <c r="B6" t="s">
        <v>28</v>
      </c>
      <c r="C6" t="s">
        <v>29</v>
      </c>
      <c r="D6" s="7" t="s">
        <v>13</v>
      </c>
      <c r="E6" t="s">
        <v>7</v>
      </c>
      <c r="F6" t="s">
        <v>30</v>
      </c>
      <c r="G6" s="8">
        <v>0</v>
      </c>
      <c r="H6" s="8">
        <v>108125</v>
      </c>
      <c r="I6" s="8"/>
      <c r="J6" s="8"/>
    </row>
    <row r="7" spans="1:13" x14ac:dyDescent="0.35">
      <c r="A7">
        <v>6</v>
      </c>
      <c r="B7" t="s">
        <v>31</v>
      </c>
      <c r="C7" t="s">
        <v>32</v>
      </c>
      <c r="D7" s="7" t="s">
        <v>33</v>
      </c>
      <c r="F7" t="s">
        <v>34</v>
      </c>
      <c r="G7" s="8">
        <v>2</v>
      </c>
      <c r="H7" s="8"/>
      <c r="I7" s="8">
        <v>9638.4</v>
      </c>
      <c r="J7" s="8">
        <v>2709.16</v>
      </c>
    </row>
    <row r="8" spans="1:13" x14ac:dyDescent="0.35">
      <c r="A8">
        <v>7</v>
      </c>
      <c r="B8" t="s">
        <v>35</v>
      </c>
      <c r="C8" t="s">
        <v>36</v>
      </c>
      <c r="D8" s="7" t="s">
        <v>25</v>
      </c>
      <c r="E8" t="s">
        <v>7</v>
      </c>
      <c r="F8">
        <v>1E-8</v>
      </c>
      <c r="G8" s="8">
        <v>0</v>
      </c>
      <c r="H8" s="8">
        <v>100000000</v>
      </c>
      <c r="I8" s="8"/>
      <c r="J8" s="8"/>
    </row>
    <row r="9" spans="1:13" x14ac:dyDescent="0.35">
      <c r="A9">
        <v>8</v>
      </c>
      <c r="B9" t="s">
        <v>37</v>
      </c>
      <c r="C9" t="s">
        <v>38</v>
      </c>
      <c r="D9" s="7" t="s">
        <v>39</v>
      </c>
      <c r="E9" t="s">
        <v>7</v>
      </c>
      <c r="F9">
        <v>10921.96</v>
      </c>
      <c r="G9" s="8">
        <v>0</v>
      </c>
      <c r="H9" s="8">
        <v>10921.96</v>
      </c>
      <c r="I9" s="8"/>
      <c r="J9" s="8"/>
    </row>
    <row r="10" spans="1:13" x14ac:dyDescent="0.35">
      <c r="A10">
        <v>9</v>
      </c>
      <c r="B10" t="s">
        <v>40</v>
      </c>
      <c r="C10" t="s">
        <v>38</v>
      </c>
      <c r="D10" s="7" t="s">
        <v>39</v>
      </c>
      <c r="E10" t="s">
        <v>7</v>
      </c>
      <c r="F10">
        <v>10921.96</v>
      </c>
      <c r="G10" s="8">
        <v>0</v>
      </c>
      <c r="H10" s="8">
        <v>10921.96</v>
      </c>
      <c r="I10" s="8"/>
      <c r="J10" s="8"/>
    </row>
    <row r="11" spans="1:13" x14ac:dyDescent="0.35">
      <c r="A11">
        <v>10</v>
      </c>
      <c r="B11" t="s">
        <v>41</v>
      </c>
      <c r="C11" t="s">
        <v>42</v>
      </c>
      <c r="D11" s="7" t="s">
        <v>7</v>
      </c>
      <c r="E11" t="s">
        <v>7</v>
      </c>
      <c r="F11" t="s">
        <v>43</v>
      </c>
      <c r="G11" s="8">
        <v>0</v>
      </c>
      <c r="H11" s="8">
        <v>33333.333333333299</v>
      </c>
      <c r="I11" s="8"/>
      <c r="J11" s="8"/>
    </row>
    <row r="12" spans="1:13" x14ac:dyDescent="0.35">
      <c r="A12">
        <v>11</v>
      </c>
      <c r="B12" t="s">
        <v>44</v>
      </c>
      <c r="C12" t="s">
        <v>45</v>
      </c>
      <c r="D12" s="7" t="s">
        <v>7</v>
      </c>
      <c r="E12" t="s">
        <v>7</v>
      </c>
      <c r="F12" t="s">
        <v>46</v>
      </c>
      <c r="G12" s="8">
        <v>0</v>
      </c>
      <c r="H12" s="8">
        <v>120000</v>
      </c>
      <c r="I12" s="8"/>
      <c r="J12" s="8"/>
    </row>
    <row r="13" spans="1:13" x14ac:dyDescent="0.35">
      <c r="A13">
        <v>12</v>
      </c>
      <c r="B13" t="s">
        <v>47</v>
      </c>
      <c r="C13" t="s">
        <v>45</v>
      </c>
      <c r="D13" s="7" t="s">
        <v>7</v>
      </c>
      <c r="E13" t="s">
        <v>7</v>
      </c>
      <c r="F13" t="s">
        <v>46</v>
      </c>
      <c r="G13" s="8">
        <v>0</v>
      </c>
      <c r="H13" s="8">
        <v>120000</v>
      </c>
      <c r="I13" s="8"/>
      <c r="J13" s="8"/>
    </row>
    <row r="14" spans="1:13" x14ac:dyDescent="0.35">
      <c r="A14">
        <v>13</v>
      </c>
      <c r="B14" t="s">
        <v>48</v>
      </c>
      <c r="C14" t="s">
        <v>49</v>
      </c>
      <c r="D14" s="7" t="s">
        <v>7</v>
      </c>
      <c r="F14" t="s">
        <v>50</v>
      </c>
      <c r="G14" s="8">
        <v>0</v>
      </c>
      <c r="H14" s="8">
        <v>9539000</v>
      </c>
      <c r="I14" s="8"/>
      <c r="J14" s="8"/>
    </row>
  </sheetData>
  <autoFilter ref="A1:J14" xr:uid="{00000000-0009-0000-0000-000000000000}">
    <sortState xmlns:xlrd2="http://schemas.microsoft.com/office/spreadsheetml/2017/richdata2" ref="A2:J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2025-11-27T20:30:02Z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